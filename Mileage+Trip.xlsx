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Mile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<sst xmlns="http://schemas.openxmlformats.org/spreadsheetml/2006/main" count="31" uniqueCount="15">
  <si>
    <t>Choose Cities, to plan your trip through Florida</t>
  </si>
  <si>
    <t>City</t>
  </si>
  <si>
    <t>Miles</t>
  </si>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</sst>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indexed="12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horizontal="left" indent="1"/>
    </xf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/>
    </xf>
    <xf numFmtId="0" fontId="3" fillId="0" borderId="0" xfId="6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tx_Hyperlink" xfId="49"/>
    <cellStyle name="Normal 4" xfId="50"/>
  </cellStyles>
  <tableStyles count="0" defaultTableStyle="TableStyleMedium2" defaultPivotStyle="PivotStyleLight16"/>
  <colors>
    <mruColors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Q17"/>
  <sheetViews>
    <sheetView showGridLines="0" tabSelected="1" workbookViewId="0">
      <selection activeCell="C6" sqref="C6"/>
    </sheetView>
  </sheetViews>
  <sheetFormatPr defaultColWidth="9" defaultRowHeight="14.4"/>
  <cols>
    <col min="1" max="1" width="5.55555555555556" customWidth="1"/>
    <col min="2" max="2" width="16.8888888888889" customWidth="1"/>
    <col min="3" max="3" width="13.6666666666667" customWidth="1"/>
    <col min="6" max="6" width="4.11111111111111" customWidth="1"/>
    <col min="7" max="7" width="14.4444444444444" customWidth="1"/>
    <col min="8" max="17" width="4" customWidth="1"/>
  </cols>
  <sheetData>
    <row r="2" spans="1:17">
      <c r="B2" s="1" t="s">
        <v>0</v>
      </c>
      <c r="H2" s="2">
        <v>1</v>
      </c>
      <c r="I2" s="2">
        <v>2</v>
      </c>
      <c r="J2" s="2">
        <v>3</v>
      </c>
      <c r="K2" s="2">
        <v>4</v>
      </c>
      <c r="L2" s="2">
        <v>5</v>
      </c>
      <c r="M2" s="2">
        <v>6</v>
      </c>
      <c r="N2" s="2">
        <v>7</v>
      </c>
      <c r="O2" s="2">
        <v>8</v>
      </c>
      <c r="P2" s="2">
        <v>9</v>
      </c>
      <c r="Q2" s="2">
        <v>10</v>
      </c>
    </row>
    <row r="3" ht="70.85" spans="1:17">
      <c r="B3" s="3" t="s">
        <v>1</v>
      </c>
      <c r="C3" s="3" t="s">
        <v>2</v>
      </c>
      <c r="E3" s="3"/>
      <c r="G3" s="4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</row>
    <row r="4" spans="1:17">
      <c r="A4" s="6">
        <v>1</v>
      </c>
      <c r="B4" s="7" t="s">
        <v>7</v>
      </c>
      <c r="C4" s="8" cm="1">
        <f t="array" ref="C4">INDEX(H4:Q13,MATCH(B4,G4:G13,0),MATCH(B5,H3:Q3,0))</f>
        <v>68</v>
      </c>
      <c r="E4" s="2"/>
      <c r="F4" s="2">
        <v>1</v>
      </c>
      <c r="G4" s="4" t="s">
        <v>4</v>
      </c>
      <c r="H4" s="4">
        <v>0</v>
      </c>
      <c r="I4" s="4">
        <v>159</v>
      </c>
      <c r="J4" s="4">
        <v>247</v>
      </c>
      <c r="K4" s="4">
        <v>131</v>
      </c>
      <c r="L4" s="4">
        <v>197</v>
      </c>
      <c r="M4" s="4">
        <v>296</v>
      </c>
      <c r="N4" s="4">
        <v>262</v>
      </c>
      <c r="O4" s="4">
        <v>106</v>
      </c>
      <c r="P4" s="4">
        <v>53</v>
      </c>
      <c r="Q4" s="4">
        <v>22</v>
      </c>
    </row>
    <row r="5" spans="1:17">
      <c r="A5" s="6">
        <v>2</v>
      </c>
      <c r="B5" s="7" t="s">
        <v>8</v>
      </c>
      <c r="C5" s="8" cm="1">
        <f t="array" ref="C5">INDEX(H5:Q14,MATCH(B5,G5:G14,0),MATCH(B6,H3:Q3,0))</f>
        <v>134</v>
      </c>
      <c r="F5" s="2">
        <v>2</v>
      </c>
      <c r="G5" s="4" t="s">
        <v>5</v>
      </c>
      <c r="H5" s="4">
        <v>159</v>
      </c>
      <c r="I5" s="4">
        <v>0</v>
      </c>
      <c r="J5" s="4">
        <v>230</v>
      </c>
      <c r="K5" s="4">
        <v>97</v>
      </c>
      <c r="L5" s="4">
        <v>89</v>
      </c>
      <c r="M5" s="4">
        <v>309</v>
      </c>
      <c r="N5" s="4">
        <v>255</v>
      </c>
      <c r="O5" s="4">
        <v>54</v>
      </c>
      <c r="P5" s="4">
        <v>181</v>
      </c>
      <c r="Q5" s="4">
        <v>138</v>
      </c>
    </row>
    <row r="6" spans="1:17">
      <c r="A6" s="6">
        <v>3</v>
      </c>
      <c r="B6" s="7" t="s">
        <v>11</v>
      </c>
      <c r="C6" s="8" cm="1">
        <f t="array" ref="C6">INDEX(H6:Q15,MATCH(B6,G6:G15,0),MATCH(B7,H3:Q3,0))</f>
        <v>85</v>
      </c>
      <c r="F6" s="2">
        <v>3</v>
      </c>
      <c r="G6" s="4" t="s">
        <v>6</v>
      </c>
      <c r="H6" s="4">
        <v>247</v>
      </c>
      <c r="I6" s="4">
        <v>230</v>
      </c>
      <c r="J6" s="4">
        <v>0</v>
      </c>
      <c r="K6" s="4">
        <v>309</v>
      </c>
      <c r="L6" s="4">
        <v>317</v>
      </c>
      <c r="M6" s="4">
        <v>80</v>
      </c>
      <c r="N6" s="4">
        <v>26</v>
      </c>
      <c r="O6" s="4">
        <v>206</v>
      </c>
      <c r="P6" s="4">
        <v>200</v>
      </c>
      <c r="Q6" s="4">
        <v>232</v>
      </c>
    </row>
    <row r="7" spans="1:17">
      <c r="A7" s="6">
        <v>4</v>
      </c>
      <c r="B7" s="7" t="s">
        <v>13</v>
      </c>
      <c r="C7" s="8" cm="1">
        <f t="array" ref="C7">INDEX(H7:Q16,MATCH(B7,G7:G16,0),MATCH(B8,H3:Q3,0))</f>
        <v>52</v>
      </c>
      <c r="F7" s="2">
        <v>4</v>
      </c>
      <c r="G7" s="4" t="s">
        <v>7</v>
      </c>
      <c r="H7" s="4">
        <v>131</v>
      </c>
      <c r="I7" s="4">
        <v>97</v>
      </c>
      <c r="J7" s="4">
        <v>309</v>
      </c>
      <c r="K7" s="4">
        <v>0</v>
      </c>
      <c r="L7" s="4">
        <v>68</v>
      </c>
      <c r="M7" s="4">
        <v>372</v>
      </c>
      <c r="N7" s="4">
        <v>332</v>
      </c>
      <c r="O7" s="4">
        <v>109</v>
      </c>
      <c r="P7" s="4">
        <v>177</v>
      </c>
      <c r="Q7" s="4">
        <v>128</v>
      </c>
    </row>
    <row r="8" spans="1:17">
      <c r="A8" s="6">
        <v>5</v>
      </c>
      <c r="B8" s="7" t="s">
        <v>12</v>
      </c>
      <c r="C8" s="8" cm="1">
        <f t="array" ref="C8">INDEX(H8:Q17,MATCH(B8,G8:G17,0),MATCH(B9,H3:Q3,0))</f>
        <v>177</v>
      </c>
      <c r="F8" s="2">
        <v>5</v>
      </c>
      <c r="G8" s="4" t="s">
        <v>8</v>
      </c>
      <c r="H8" s="4">
        <v>197</v>
      </c>
      <c r="I8" s="4">
        <v>89</v>
      </c>
      <c r="J8" s="4">
        <v>317</v>
      </c>
      <c r="K8" s="4">
        <v>68</v>
      </c>
      <c r="L8" s="4">
        <v>0</v>
      </c>
      <c r="M8" s="4">
        <v>396</v>
      </c>
      <c r="N8" s="4">
        <v>342</v>
      </c>
      <c r="O8" s="4">
        <v>134</v>
      </c>
      <c r="P8" s="4">
        <v>237</v>
      </c>
      <c r="Q8" s="4">
        <v>190</v>
      </c>
    </row>
    <row r="9" spans="1:17">
      <c r="A9" s="6">
        <v>6</v>
      </c>
      <c r="B9" s="7" t="s">
        <v>7</v>
      </c>
      <c r="C9" s="8" cm="1">
        <f t="array" ref="C9">INDEX(H4:Q13,MATCH(B9,G4:G13,0),MATCH(B4,H3:Q3,0))</f>
        <v>0</v>
      </c>
      <c r="F9" s="2">
        <v>6</v>
      </c>
      <c r="G9" s="4" t="s">
        <v>9</v>
      </c>
      <c r="H9" s="4">
        <v>296</v>
      </c>
      <c r="I9" s="4">
        <v>309</v>
      </c>
      <c r="J9" s="4">
        <v>80</v>
      </c>
      <c r="K9" s="4">
        <v>372</v>
      </c>
      <c r="L9" s="4">
        <v>396</v>
      </c>
      <c r="M9" s="4">
        <v>0</v>
      </c>
      <c r="N9" s="4">
        <v>54</v>
      </c>
      <c r="O9" s="4">
        <v>269</v>
      </c>
      <c r="P9" s="4">
        <v>243</v>
      </c>
      <c r="Q9" s="4">
        <v>287</v>
      </c>
    </row>
    <row r="10" spans="1:17">
      <c r="F10" s="2">
        <v>7</v>
      </c>
      <c r="G10" s="4" t="s">
        <v>10</v>
      </c>
      <c r="H10" s="4">
        <v>262</v>
      </c>
      <c r="I10" s="4">
        <v>255</v>
      </c>
      <c r="J10" s="4">
        <v>26</v>
      </c>
      <c r="K10" s="4">
        <v>332</v>
      </c>
      <c r="L10" s="4">
        <v>342</v>
      </c>
      <c r="M10" s="4">
        <v>54</v>
      </c>
      <c r="N10" s="4">
        <v>0</v>
      </c>
      <c r="O10" s="4">
        <v>229</v>
      </c>
      <c r="P10" s="4">
        <v>214</v>
      </c>
      <c r="Q10" s="4">
        <v>246</v>
      </c>
    </row>
    <row r="11" spans="1:17">
      <c r="B11" s="9" t="s">
        <v>14</v>
      </c>
      <c r="C11" s="9">
        <f>SUM(C4:C9)</f>
        <v>516</v>
      </c>
      <c r="F11" s="2">
        <v>8</v>
      </c>
      <c r="G11" s="4" t="s">
        <v>11</v>
      </c>
      <c r="H11" s="4">
        <v>106</v>
      </c>
      <c r="I11" s="4">
        <v>54</v>
      </c>
      <c r="J11" s="4">
        <v>206</v>
      </c>
      <c r="K11" s="4">
        <v>109</v>
      </c>
      <c r="L11" s="4">
        <v>134</v>
      </c>
      <c r="M11" s="4">
        <v>269</v>
      </c>
      <c r="N11" s="4">
        <v>229</v>
      </c>
      <c r="O11" s="4">
        <v>0</v>
      </c>
      <c r="P11" s="4">
        <v>128</v>
      </c>
      <c r="Q11" s="4">
        <v>85</v>
      </c>
    </row>
    <row r="12" spans="1:17">
      <c r="F12" s="2">
        <v>9</v>
      </c>
      <c r="G12" s="4" t="s">
        <v>12</v>
      </c>
      <c r="H12" s="4">
        <v>53</v>
      </c>
      <c r="I12" s="4">
        <v>181</v>
      </c>
      <c r="J12" s="4">
        <v>200</v>
      </c>
      <c r="K12" s="4">
        <v>177</v>
      </c>
      <c r="L12" s="4">
        <v>237</v>
      </c>
      <c r="M12" s="4">
        <v>243</v>
      </c>
      <c r="N12" s="4">
        <v>214</v>
      </c>
      <c r="O12" s="4">
        <v>128</v>
      </c>
      <c r="P12" s="4">
        <v>0</v>
      </c>
      <c r="Q12" s="4">
        <v>52</v>
      </c>
    </row>
    <row r="13" spans="1:17">
      <c r="F13" s="2">
        <v>10</v>
      </c>
      <c r="G13" s="4" t="s">
        <v>13</v>
      </c>
      <c r="H13" s="4">
        <v>22</v>
      </c>
      <c r="I13" s="4">
        <v>138</v>
      </c>
      <c r="J13" s="4">
        <v>232</v>
      </c>
      <c r="K13" s="4">
        <v>128</v>
      </c>
      <c r="L13" s="4">
        <v>190</v>
      </c>
      <c r="M13" s="4">
        <v>287</v>
      </c>
      <c r="N13" s="4">
        <v>246</v>
      </c>
      <c r="O13" s="4">
        <v>85</v>
      </c>
      <c r="P13" s="4">
        <v>52</v>
      </c>
      <c r="Q13" s="4">
        <v>0</v>
      </c>
    </row>
    <row r="15" ht="23.4" spans="1:17">
      <c r="B15" s="10"/>
      <c r="H15" s="11"/>
      <c r="I15" s="12"/>
      <c r="J15" s="12"/>
      <c r="K15" s="12"/>
      <c r="L15" s="12"/>
      <c r="M15" s="12"/>
      <c r="N15" s="12"/>
      <c r="O15" s="12"/>
      <c r="P15" s="12"/>
    </row>
    <row r="17" spans="8:14">
      <c r="H17" s="11"/>
      <c r="I17" s="12"/>
      <c r="J17" s="12"/>
      <c r="K17" s="12"/>
      <c r="L17" s="12"/>
      <c r="M17" s="12"/>
      <c r="N17" s="12"/>
    </row>
  </sheetData>
  <mergeCells count="2">
    <mergeCell ref="I15:P15"/>
    <mergeCell ref="I17:N17"/>
  </mergeCells>
  <dataValidations count="1">
    <dataValidation type="list" allowBlank="1" showInputMessage="1" showErrorMessage="1" sqref="B4:B9">
      <formula1>$G$4:$G$13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Mileage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Shravani pawar</cp:lastModifiedBy>
  <dcterms:created xsi:type="dcterms:W3CDTF">2013-05-08T14:48:00Z</dcterms:created>
  <dcterms:modified xsi:type="dcterms:W3CDTF">2026-10-23T15:28:04Z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875542F61F4343D18651D34CE2A5F5B5_13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